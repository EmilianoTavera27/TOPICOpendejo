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lany Camacho Mora\Downloads\"/>
    </mc:Choice>
  </mc:AlternateContent>
  <xr:revisionPtr revIDLastSave="0" documentId="8_{B48A44E8-DCFB-4075-AC3B-2AF4A97FC76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Hoja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</calcChain>
</file>

<file path=xl/sharedStrings.xml><?xml version="1.0" encoding="utf-8"?>
<sst xmlns="http://schemas.openxmlformats.org/spreadsheetml/2006/main" count="72" uniqueCount="66">
  <si>
    <t>Nombre</t>
  </si>
  <si>
    <t>Paterno</t>
  </si>
  <si>
    <t>Materno</t>
  </si>
  <si>
    <t>Completo</t>
  </si>
  <si>
    <t>Cuenta</t>
  </si>
  <si>
    <t>Rafeal</t>
  </si>
  <si>
    <t>Paulina</t>
  </si>
  <si>
    <t>Diego</t>
  </si>
  <si>
    <t>Gerardo</t>
  </si>
  <si>
    <t>Sergio</t>
  </si>
  <si>
    <t>Carlos</t>
  </si>
  <si>
    <t>Fátima</t>
  </si>
  <si>
    <t>Hannia</t>
  </si>
  <si>
    <t>Jessica</t>
  </si>
  <si>
    <t>Octavio</t>
  </si>
  <si>
    <t>Joel</t>
  </si>
  <si>
    <t>Alex</t>
  </si>
  <si>
    <t>Alexia</t>
  </si>
  <si>
    <t>Emilio</t>
  </si>
  <si>
    <t>Medina</t>
  </si>
  <si>
    <t>Calvillo</t>
  </si>
  <si>
    <t>Monte</t>
  </si>
  <si>
    <t>Cortes</t>
  </si>
  <si>
    <t>Vértiz</t>
  </si>
  <si>
    <t>Vargas</t>
  </si>
  <si>
    <t>Valencia</t>
  </si>
  <si>
    <t>Cruz</t>
  </si>
  <si>
    <t>Alcaráz</t>
  </si>
  <si>
    <t>Motolonia</t>
  </si>
  <si>
    <t>Ríos</t>
  </si>
  <si>
    <t>Lopez</t>
  </si>
  <si>
    <t>Rubio</t>
  </si>
  <si>
    <t>Caballero</t>
  </si>
  <si>
    <t>Veliz</t>
  </si>
  <si>
    <t>Marín</t>
  </si>
  <si>
    <t>García</t>
  </si>
  <si>
    <t>Canales</t>
  </si>
  <si>
    <t>Aceves</t>
  </si>
  <si>
    <t>Cabalero</t>
  </si>
  <si>
    <t>Vázquez</t>
  </si>
  <si>
    <t>Morales</t>
  </si>
  <si>
    <t>Sánchez</t>
  </si>
  <si>
    <t>Ochoa</t>
  </si>
  <si>
    <t>BBV-1234-3-MX</t>
  </si>
  <si>
    <t>CTY-4534-2-CO</t>
  </si>
  <si>
    <t>SCT-6456-1-WE</t>
  </si>
  <si>
    <t>SRT-4355-3-EU</t>
  </si>
  <si>
    <t>ERC-5878-3-AU</t>
  </si>
  <si>
    <t>TYU-4532-1-MX</t>
  </si>
  <si>
    <t>Clave</t>
  </si>
  <si>
    <t>Tipo cliente</t>
  </si>
  <si>
    <t>País</t>
  </si>
  <si>
    <t>BBV--5674-3-MX</t>
  </si>
  <si>
    <t>SRT-9876-3-EU</t>
  </si>
  <si>
    <t>SCT-6756-1-WE</t>
  </si>
  <si>
    <t>SRT-4255-3-EU</t>
  </si>
  <si>
    <t>CTY-4564-4-CO</t>
  </si>
  <si>
    <t>SCT-6456-3-WE</t>
  </si>
  <si>
    <t>RFC</t>
  </si>
  <si>
    <t>AP corto</t>
  </si>
  <si>
    <t xml:space="preserve">AM corto </t>
  </si>
  <si>
    <t>N Corto</t>
  </si>
  <si>
    <t>Apellidos Iguales</t>
  </si>
  <si>
    <t>Longitud</t>
  </si>
  <si>
    <t>Fecha de nacimiento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</si>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</sst>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tabSelected="1" zoomScale="83" workbookViewId="0">
      <selection activeCell="G23" sqref="G23"/>
    </sheetView>
  </sheetViews>
  <sheetFormatPr baseColWidth="10" defaultRowHeight="15.75" x14ac:dyDescent="0.25"/>
  <cols>
    <col min="4" max="4" width="9" bestFit="1" customWidth="1"/>
    <col min="5" max="5" width="14.625" bestFit="1" customWidth="1"/>
    <col min="6" max="6" width="14.625" customWidth="1"/>
    <col min="7" max="7" width="18.125" bestFit="1" customWidth="1"/>
    <col min="8" max="8" width="18.125" customWidth="1"/>
    <col min="9" max="9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49</v>
      </c>
      <c r="J1" s="1" t="s">
        <v>4</v>
      </c>
      <c r="K1" s="1" t="s">
        <v>50</v>
      </c>
      <c r="L1" s="1" t="s">
        <v>51</v>
      </c>
      <c r="M1" s="1" t="s">
        <v>61</v>
      </c>
      <c r="N1" s="1" t="s">
        <v>59</v>
      </c>
      <c r="O1" s="1" t="s">
        <v>60</v>
      </c>
      <c r="P1" s="1" t="s">
        <v>58</v>
      </c>
    </row>
    <row r="2" spans="1:16" x14ac:dyDescent="0.25">
      <c r="A2" t="s">
        <v>5</v>
      </c>
      <c r="B2" t="s">
        <v>19</v>
      </c>
      <c r="C2" t="s">
        <v>30</v>
      </c>
      <c r="D2" t="str">
        <f>A2&amp;" "&amp;B2&amp;" "&amp;C2</f>
        <v>Rafeal Medina Lopez</v>
      </c>
      <c r="F2">
        <f>LEN(D2)</f>
        <v>19</v>
      </c>
      <c r="G2" s="2">
        <v>33805</v>
      </c>
      <c r="H2" s="3">
        <f ca="1">IF(G2=" "," ",YEAR(TODAY())-YEAR(G2))</f>
        <v>34</v>
      </c>
      <c r="I2" t="s">
        <v>43</v>
      </c>
      <c r="J2" t="str">
        <f>MID(I2,FIND("-",I2)+1,4)</f>
        <v>1234</v>
      </c>
      <c r="K2" t="str">
        <f>MID(I2,FIND("-",I2,FIND("-",I2)+1)+1,1)</f>
        <v>3</v>
      </c>
      <c r="L2" t="str">
        <f>RIGHT(I2,2)</f>
        <v>MX</v>
      </c>
      <c r="M2" t="str">
        <f>LEFT(A2,2)</f>
        <v>Ra</v>
      </c>
      <c r="N2" t="str">
        <f>LEFT(B2,1)</f>
        <v>M</v>
      </c>
      <c r="O2" t="str">
        <f>LEFT(C2,1)</f>
        <v>L</v>
      </c>
      <c r="P2" t="str">
        <f>UPPER(M2&amp;N2&amp;2&amp;YEAR(G2))</f>
        <v>RAM21992</v>
      </c>
    </row>
    <row r="3" spans="1:16" x14ac:dyDescent="0.25">
      <c r="A3" t="s">
        <v>6</v>
      </c>
      <c r="B3" t="s">
        <v>20</v>
      </c>
      <c r="C3" t="s">
        <v>31</v>
      </c>
      <c r="D3" t="str">
        <f t="shared" ref="D3:D15" si="0">A3&amp;" "&amp;B3&amp;" "&amp;C3</f>
        <v>Paulina Calvillo Rubio</v>
      </c>
      <c r="F3">
        <f t="shared" ref="F3:F15" si="1">LEN(D3)</f>
        <v>22</v>
      </c>
      <c r="G3" s="2">
        <v>26985</v>
      </c>
      <c r="H3" s="3">
        <f t="shared" ref="H3:H15" ca="1" si="2">IF(G3=" "," ",YEAR(TODAY())-YEAR(G3))</f>
        <v>53</v>
      </c>
      <c r="I3" t="s">
        <v>44</v>
      </c>
      <c r="J3" t="str">
        <f t="shared" ref="J3:J15" si="3">MID(I3,FIND("-",I3)+1,4)</f>
        <v>4534</v>
      </c>
      <c r="K3" t="str">
        <f t="shared" ref="K3:K15" si="4">MID(I3,FIND("-",I3,FIND("-",I3)+1)+1,1)</f>
        <v>2</v>
      </c>
      <c r="L3" t="str">
        <f t="shared" ref="L3:L15" si="5">RIGHT(I3,2)</f>
        <v>CO</v>
      </c>
      <c r="M3" t="str">
        <f t="shared" ref="M3:M15" si="6">LEFT(A3,2)</f>
        <v>Pa</v>
      </c>
      <c r="N3" t="str">
        <f t="shared" ref="N3:N15" si="7">LEFT(B3,1)</f>
        <v>C</v>
      </c>
      <c r="O3" t="str">
        <f t="shared" ref="O3:O15" si="8">LEFT(C3,1)</f>
        <v>R</v>
      </c>
      <c r="P3" t="str">
        <f t="shared" ref="P3:P15" si="9">UPPER(M3&amp;N3&amp;2&amp;YEAR(G3))</f>
        <v>PAC21973</v>
      </c>
    </row>
    <row r="4" spans="1:16" x14ac:dyDescent="0.25">
      <c r="A4" t="s">
        <v>7</v>
      </c>
      <c r="B4" t="s">
        <v>21</v>
      </c>
      <c r="C4" t="s">
        <v>32</v>
      </c>
      <c r="D4" t="str">
        <f t="shared" si="0"/>
        <v>Diego Monte Caballero</v>
      </c>
      <c r="F4">
        <f t="shared" si="1"/>
        <v>21</v>
      </c>
      <c r="G4" s="2">
        <v>33105</v>
      </c>
      <c r="H4" s="3">
        <f t="shared" ca="1" si="2"/>
        <v>36</v>
      </c>
      <c r="I4" t="s">
        <v>45</v>
      </c>
      <c r="J4" t="str">
        <f t="shared" si="3"/>
        <v>6456</v>
      </c>
      <c r="K4" t="str">
        <f t="shared" si="4"/>
        <v>1</v>
      </c>
      <c r="L4" t="str">
        <f t="shared" si="5"/>
        <v>WE</v>
      </c>
      <c r="M4" t="str">
        <f t="shared" si="6"/>
        <v>Di</v>
      </c>
      <c r="N4" t="str">
        <f t="shared" si="7"/>
        <v>M</v>
      </c>
      <c r="O4" t="str">
        <f t="shared" si="8"/>
        <v>C</v>
      </c>
      <c r="P4" t="str">
        <f t="shared" si="9"/>
        <v>DIM21990</v>
      </c>
    </row>
    <row r="5" spans="1:16" x14ac:dyDescent="0.25">
      <c r="A5" t="s">
        <v>8</v>
      </c>
      <c r="B5" t="s">
        <v>19</v>
      </c>
      <c r="C5" t="s">
        <v>19</v>
      </c>
      <c r="D5" t="str">
        <f t="shared" si="0"/>
        <v>Gerardo Medina Medina</v>
      </c>
      <c r="F5">
        <f t="shared" si="1"/>
        <v>21</v>
      </c>
      <c r="G5" s="2">
        <v>31031</v>
      </c>
      <c r="H5" s="3">
        <f t="shared" ca="1" si="2"/>
        <v>42</v>
      </c>
      <c r="I5" t="s">
        <v>46</v>
      </c>
      <c r="J5" t="str">
        <f t="shared" si="3"/>
        <v>4355</v>
      </c>
      <c r="K5" t="str">
        <f t="shared" si="4"/>
        <v>3</v>
      </c>
      <c r="L5" t="str">
        <f t="shared" si="5"/>
        <v>EU</v>
      </c>
      <c r="M5" t="str">
        <f t="shared" si="6"/>
        <v>Ge</v>
      </c>
      <c r="N5" t="str">
        <f t="shared" si="7"/>
        <v>M</v>
      </c>
      <c r="O5" t="str">
        <f t="shared" si="8"/>
        <v>M</v>
      </c>
      <c r="P5" t="str">
        <f t="shared" si="9"/>
        <v>GEM21984</v>
      </c>
    </row>
    <row r="6" spans="1:16" x14ac:dyDescent="0.25">
      <c r="A6" t="s">
        <v>9</v>
      </c>
      <c r="B6" t="s">
        <v>9</v>
      </c>
      <c r="C6" t="s">
        <v>33</v>
      </c>
      <c r="D6" t="str">
        <f t="shared" si="0"/>
        <v>Sergio Sergio Veliz</v>
      </c>
      <c r="F6">
        <f t="shared" si="1"/>
        <v>19</v>
      </c>
      <c r="G6" s="2">
        <v>27467</v>
      </c>
      <c r="H6" s="3">
        <f t="shared" ca="1" si="2"/>
        <v>51</v>
      </c>
      <c r="I6" t="s">
        <v>47</v>
      </c>
      <c r="J6" t="str">
        <f t="shared" si="3"/>
        <v>5878</v>
      </c>
      <c r="K6" t="str">
        <f t="shared" si="4"/>
        <v>3</v>
      </c>
      <c r="L6" t="str">
        <f t="shared" si="5"/>
        <v>AU</v>
      </c>
      <c r="M6" t="str">
        <f t="shared" si="6"/>
        <v>Se</v>
      </c>
      <c r="N6" t="str">
        <f t="shared" si="7"/>
        <v>S</v>
      </c>
      <c r="O6" t="str">
        <f t="shared" si="8"/>
        <v>V</v>
      </c>
      <c r="P6" t="str">
        <f t="shared" si="9"/>
        <v>SES21975</v>
      </c>
    </row>
    <row r="7" spans="1:16" x14ac:dyDescent="0.25">
      <c r="A7" t="s">
        <v>10</v>
      </c>
      <c r="B7" t="s">
        <v>22</v>
      </c>
      <c r="C7" t="s">
        <v>34</v>
      </c>
      <c r="D7" t="str">
        <f t="shared" si="0"/>
        <v>Carlos Cortes Marín</v>
      </c>
      <c r="F7">
        <f t="shared" si="1"/>
        <v>19</v>
      </c>
      <c r="G7" s="2">
        <v>30191</v>
      </c>
      <c r="H7" s="3">
        <f t="shared" ca="1" si="2"/>
        <v>44</v>
      </c>
      <c r="I7" t="s">
        <v>48</v>
      </c>
      <c r="J7" t="str">
        <f t="shared" si="3"/>
        <v>4532</v>
      </c>
      <c r="K7" t="str">
        <f t="shared" si="4"/>
        <v>1</v>
      </c>
      <c r="L7" t="str">
        <f t="shared" si="5"/>
        <v>MX</v>
      </c>
      <c r="M7" t="str">
        <f t="shared" si="6"/>
        <v>Ca</v>
      </c>
      <c r="N7" t="str">
        <f t="shared" si="7"/>
        <v>C</v>
      </c>
      <c r="O7" t="str">
        <f t="shared" si="8"/>
        <v>M</v>
      </c>
      <c r="P7" t="str">
        <f t="shared" si="9"/>
        <v>CAC21982</v>
      </c>
    </row>
    <row r="8" spans="1:16" x14ac:dyDescent="0.25">
      <c r="A8" t="s">
        <v>11</v>
      </c>
      <c r="B8" t="s">
        <v>35</v>
      </c>
      <c r="C8" t="s">
        <v>35</v>
      </c>
      <c r="D8" t="str">
        <f t="shared" si="0"/>
        <v>Fátima García García</v>
      </c>
      <c r="F8">
        <f t="shared" si="1"/>
        <v>20</v>
      </c>
      <c r="G8" s="2">
        <v>27663</v>
      </c>
      <c r="H8" s="3">
        <f t="shared" ca="1" si="2"/>
        <v>51</v>
      </c>
      <c r="I8" t="s">
        <v>52</v>
      </c>
      <c r="J8" t="str">
        <f t="shared" si="3"/>
        <v>-567</v>
      </c>
      <c r="K8" t="str">
        <f t="shared" si="4"/>
        <v>5</v>
      </c>
      <c r="L8" t="str">
        <f t="shared" si="5"/>
        <v>MX</v>
      </c>
      <c r="M8" t="str">
        <f t="shared" si="6"/>
        <v>Fá</v>
      </c>
      <c r="N8" t="str">
        <f t="shared" si="7"/>
        <v>G</v>
      </c>
      <c r="O8" t="str">
        <f t="shared" si="8"/>
        <v>G</v>
      </c>
      <c r="P8" t="str">
        <f t="shared" si="9"/>
        <v>FÁG21975</v>
      </c>
    </row>
    <row r="9" spans="1:16" x14ac:dyDescent="0.25">
      <c r="A9" t="s">
        <v>12</v>
      </c>
      <c r="B9" t="s">
        <v>23</v>
      </c>
      <c r="C9" t="s">
        <v>36</v>
      </c>
      <c r="D9" t="str">
        <f t="shared" si="0"/>
        <v>Hannia Vértiz Canales</v>
      </c>
      <c r="F9">
        <f t="shared" si="1"/>
        <v>21</v>
      </c>
      <c r="G9" s="2">
        <v>27416</v>
      </c>
      <c r="H9" s="3">
        <f t="shared" ca="1" si="2"/>
        <v>51</v>
      </c>
      <c r="I9" t="s">
        <v>44</v>
      </c>
      <c r="J9" t="str">
        <f t="shared" si="3"/>
        <v>4534</v>
      </c>
      <c r="K9" t="str">
        <f t="shared" si="4"/>
        <v>2</v>
      </c>
      <c r="L9" t="str">
        <f t="shared" si="5"/>
        <v>CO</v>
      </c>
      <c r="M9" t="str">
        <f t="shared" si="6"/>
        <v>Ha</v>
      </c>
      <c r="N9" t="str">
        <f t="shared" si="7"/>
        <v>V</v>
      </c>
      <c r="O9" t="str">
        <f t="shared" si="8"/>
        <v>C</v>
      </c>
      <c r="P9" t="str">
        <f t="shared" si="9"/>
        <v>HAV21975</v>
      </c>
    </row>
    <row r="10" spans="1:16" x14ac:dyDescent="0.25">
      <c r="A10" t="s">
        <v>13</v>
      </c>
      <c r="B10" t="s">
        <v>24</v>
      </c>
      <c r="C10" t="s">
        <v>37</v>
      </c>
      <c r="D10" t="str">
        <f t="shared" si="0"/>
        <v>Jessica Vargas Aceves</v>
      </c>
      <c r="F10">
        <f t="shared" si="1"/>
        <v>21</v>
      </c>
      <c r="G10" s="2">
        <v>31474</v>
      </c>
      <c r="H10" s="3">
        <f t="shared" ca="1" si="2"/>
        <v>40</v>
      </c>
      <c r="I10" t="s">
        <v>57</v>
      </c>
      <c r="J10" t="str">
        <f t="shared" si="3"/>
        <v>6456</v>
      </c>
      <c r="K10" t="str">
        <f t="shared" si="4"/>
        <v>3</v>
      </c>
      <c r="L10" t="str">
        <f t="shared" si="5"/>
        <v>WE</v>
      </c>
      <c r="M10" t="str">
        <f t="shared" si="6"/>
        <v>Je</v>
      </c>
      <c r="N10" t="str">
        <f t="shared" si="7"/>
        <v>V</v>
      </c>
      <c r="O10" t="str">
        <f t="shared" si="8"/>
        <v>A</v>
      </c>
      <c r="P10" t="str">
        <f t="shared" si="9"/>
        <v>JEV21986</v>
      </c>
    </row>
    <row r="11" spans="1:16" x14ac:dyDescent="0.25">
      <c r="A11" t="s">
        <v>14</v>
      </c>
      <c r="B11" t="s">
        <v>25</v>
      </c>
      <c r="C11" t="s">
        <v>38</v>
      </c>
      <c r="D11" t="str">
        <f t="shared" si="0"/>
        <v>Octavio Valencia Cabalero</v>
      </c>
      <c r="F11">
        <f t="shared" si="1"/>
        <v>25</v>
      </c>
      <c r="G11" s="2">
        <v>29115</v>
      </c>
      <c r="H11" s="3">
        <f t="shared" ca="1" si="2"/>
        <v>47</v>
      </c>
      <c r="I11" t="s">
        <v>53</v>
      </c>
      <c r="J11" t="str">
        <f t="shared" si="3"/>
        <v>9876</v>
      </c>
      <c r="K11" t="str">
        <f t="shared" si="4"/>
        <v>3</v>
      </c>
      <c r="L11" t="str">
        <f t="shared" si="5"/>
        <v>EU</v>
      </c>
      <c r="M11" t="str">
        <f t="shared" si="6"/>
        <v>Oc</v>
      </c>
      <c r="N11" t="str">
        <f t="shared" si="7"/>
        <v>V</v>
      </c>
      <c r="O11" t="str">
        <f t="shared" si="8"/>
        <v>C</v>
      </c>
      <c r="P11" t="str">
        <f t="shared" si="9"/>
        <v>OCV21979</v>
      </c>
    </row>
    <row r="12" spans="1:16" x14ac:dyDescent="0.25">
      <c r="A12" t="s">
        <v>15</v>
      </c>
      <c r="B12" t="s">
        <v>26</v>
      </c>
      <c r="C12" t="s">
        <v>39</v>
      </c>
      <c r="D12" t="str">
        <f t="shared" si="0"/>
        <v>Joel Cruz Vázquez</v>
      </c>
      <c r="F12">
        <f t="shared" si="1"/>
        <v>17</v>
      </c>
      <c r="G12" s="2">
        <v>32526</v>
      </c>
      <c r="H12" s="3">
        <f t="shared" ca="1" si="2"/>
        <v>37</v>
      </c>
      <c r="I12" t="s">
        <v>47</v>
      </c>
      <c r="J12" t="str">
        <f t="shared" si="3"/>
        <v>5878</v>
      </c>
      <c r="K12" t="str">
        <f t="shared" si="4"/>
        <v>3</v>
      </c>
      <c r="L12" t="str">
        <f t="shared" si="5"/>
        <v>AU</v>
      </c>
      <c r="M12" t="str">
        <f t="shared" si="6"/>
        <v>Jo</v>
      </c>
      <c r="N12" t="str">
        <f t="shared" si="7"/>
        <v>C</v>
      </c>
      <c r="O12" t="str">
        <f t="shared" si="8"/>
        <v>V</v>
      </c>
      <c r="P12" t="str">
        <f t="shared" si="9"/>
        <v>JOC21989</v>
      </c>
    </row>
    <row r="13" spans="1:16" x14ac:dyDescent="0.25">
      <c r="A13" t="s">
        <v>16</v>
      </c>
      <c r="B13" t="s">
        <v>27</v>
      </c>
      <c r="C13" t="s">
        <v>40</v>
      </c>
      <c r="D13" t="str">
        <f t="shared" si="0"/>
        <v>Alex Alcaráz Morales</v>
      </c>
      <c r="F13">
        <f t="shared" si="1"/>
        <v>20</v>
      </c>
      <c r="G13" s="2">
        <v>31850</v>
      </c>
      <c r="H13" s="3">
        <f t="shared" ca="1" si="2"/>
        <v>39</v>
      </c>
      <c r="I13" t="s">
        <v>56</v>
      </c>
      <c r="J13" t="str">
        <f t="shared" si="3"/>
        <v>4564</v>
      </c>
      <c r="K13" t="str">
        <f t="shared" si="4"/>
        <v>4</v>
      </c>
      <c r="L13" t="str">
        <f t="shared" si="5"/>
        <v>CO</v>
      </c>
      <c r="M13" t="str">
        <f t="shared" si="6"/>
        <v>Al</v>
      </c>
      <c r="N13" t="str">
        <f t="shared" si="7"/>
        <v>A</v>
      </c>
      <c r="O13" t="str">
        <f t="shared" si="8"/>
        <v>M</v>
      </c>
      <c r="P13" t="str">
        <f t="shared" si="9"/>
        <v>ALA21987</v>
      </c>
    </row>
    <row r="14" spans="1:16" x14ac:dyDescent="0.25">
      <c r="A14" t="s">
        <v>17</v>
      </c>
      <c r="B14" t="s">
        <v>28</v>
      </c>
      <c r="C14" t="s">
        <v>41</v>
      </c>
      <c r="D14" t="str">
        <f t="shared" si="0"/>
        <v>Alexia Motolonia Sánchez</v>
      </c>
      <c r="F14">
        <f t="shared" si="1"/>
        <v>24</v>
      </c>
      <c r="G14" s="2">
        <v>28733</v>
      </c>
      <c r="H14" s="3">
        <f t="shared" ca="1" si="2"/>
        <v>48</v>
      </c>
      <c r="I14" t="s">
        <v>54</v>
      </c>
      <c r="J14" t="str">
        <f t="shared" si="3"/>
        <v>6756</v>
      </c>
      <c r="K14" t="str">
        <f t="shared" si="4"/>
        <v>1</v>
      </c>
      <c r="L14" t="str">
        <f t="shared" si="5"/>
        <v>WE</v>
      </c>
      <c r="M14" t="str">
        <f t="shared" si="6"/>
        <v>Al</v>
      </c>
      <c r="N14" t="str">
        <f t="shared" si="7"/>
        <v>M</v>
      </c>
      <c r="O14" t="str">
        <f t="shared" si="8"/>
        <v>S</v>
      </c>
      <c r="P14" t="str">
        <f t="shared" si="9"/>
        <v>ALM21978</v>
      </c>
    </row>
    <row r="15" spans="1:16" x14ac:dyDescent="0.25">
      <c r="A15" t="s">
        <v>18</v>
      </c>
      <c r="B15" t="s">
        <v>29</v>
      </c>
      <c r="C15" t="s">
        <v>42</v>
      </c>
      <c r="D15" t="str">
        <f t="shared" si="0"/>
        <v>Emilio Ríos Ochoa</v>
      </c>
      <c r="F15">
        <f t="shared" si="1"/>
        <v>17</v>
      </c>
      <c r="G15" s="2">
        <v>28536</v>
      </c>
      <c r="H15" s="3">
        <f t="shared" ca="1" si="2"/>
        <v>48</v>
      </c>
      <c r="I15" t="s">
        <v>55</v>
      </c>
      <c r="J15" t="str">
        <f t="shared" si="3"/>
        <v>4255</v>
      </c>
      <c r="K15" t="str">
        <f t="shared" si="4"/>
        <v>3</v>
      </c>
      <c r="L15" t="str">
        <f t="shared" si="5"/>
        <v>EU</v>
      </c>
      <c r="M15" t="str">
        <f t="shared" si="6"/>
        <v>Em</v>
      </c>
      <c r="N15" t="str">
        <f t="shared" si="7"/>
        <v>R</v>
      </c>
      <c r="O15" t="str">
        <f t="shared" si="8"/>
        <v>O</v>
      </c>
      <c r="P15" t="str">
        <f t="shared" si="9"/>
        <v>EMR21978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Melany Camacho</cp:lastModifiedBy>
  <dcterms:created xsi:type="dcterms:W3CDTF">2018-02-18T14:36:06Z</dcterms:created>
  <dcterms:modified xsi:type="dcterms:W3CDTF">2026-02-25T02:17:02Z</dcterms:modified>
</cp:coreProperties>
</file>